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sz val="8"/>
    </font>
    <font>
      <name val="Tahoma"/>
      <b val="1"/>
      <sz val="14"/>
    </font>
    <font>
      <name val="Tahoma"/>
      <sz val="10"/>
    </font>
    <font>
      <name val="Tahoma"/>
      <b val="1"/>
      <sz val="10"/>
    </font>
    <font>
      <name val="Tahoma"/>
      <color rgb="00FF0000"/>
      <sz val="8"/>
    </font>
    <font>
      <name val="Tahoma"/>
      <color rgb="00FF0000"/>
      <sz val="10"/>
    </font>
    <font>
      <name val="Tahoma"/>
      <b val="1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3" fillId="0" borderId="2" applyAlignment="1" pivotButton="0" quotePrefix="0" xfId="0">
      <alignment horizontal="center" vertical="center"/>
    </xf>
    <xf numFmtId="4" fontId="3" fillId="0" borderId="2" pivotButton="0" quotePrefix="0" xfId="0"/>
    <xf numFmtId="4" fontId="6" fillId="0" borderId="2" pivotButton="0" quotePrefix="0" xfId="0"/>
    <xf numFmtId="0" fontId="7" fillId="0" borderId="2" pivotButton="0" quotePrefix="0" xfId="0"/>
    <xf numFmtId="0" fontId="4" fillId="0" borderId="2" pivotButton="0" quotePrefix="0" xfId="0"/>
    <xf numFmtId="4" fontId="4" fillId="0" borderId="2" pivotButton="0" quotePrefix="0" xfId="0"/>
    <xf numFmtId="0" fontId="0" fillId="0" borderId="2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3" fillId="3" borderId="0" pivotButton="0" quotePrefix="0" xfId="0"/>
    <xf numFmtId="0" fontId="4" fillId="3" borderId="2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3.57" customWidth="1" min="1" max="1"/>
    <col width="12.71" customWidth="1" min="2" max="2"/>
    <col width="12.71" customWidth="1" min="3" max="3"/>
    <col width="12.71" customWidth="1" min="4" max="4"/>
    <col width="12.71" customWidth="1" min="5" max="5"/>
    <col width="12.71" customWidth="1" min="6" max="6"/>
    <col width="12.71" customWidth="1" min="7" max="7"/>
    <col width="9.57" customWidth="1" min="8" max="8"/>
    <col width="9.140000000000001" customWidth="1" min="9" max="9"/>
    <col width="14.29" customWidth="1" min="10" max="10"/>
    <col width="9.140000000000001" customWidth="1" min="11" max="11"/>
    <col width="9.140000000000001" customWidth="1" min="12" max="12"/>
    <col width="9.140000000000001" customWidth="1" min="13" max="13"/>
    <col width="9.140000000000001" customWidth="1" min="14" max="14"/>
  </cols>
  <sheetData>
    <row r="1" ht="18" customHeight="1">
      <c r="A1" s="1" t="n">
        <v>2</v>
      </c>
      <c r="B1" s="2" t="inlineStr">
        <is>
          <t>UPS Air Cargo Dock Receipt</t>
        </is>
      </c>
      <c r="F1" s="2" t="n"/>
      <c r="G1" s="2" t="n"/>
      <c r="H1" s="2" t="n"/>
      <c r="I1" s="2" t="n"/>
    </row>
    <row r="2" ht="18" customHeight="1">
      <c r="B2" s="2" t="n"/>
      <c r="C2" s="2" t="n"/>
      <c r="D2" s="2" t="n"/>
      <c r="E2" s="2" t="n"/>
      <c r="F2" s="2" t="n"/>
      <c r="G2" s="2" t="n"/>
      <c r="H2" s="2" t="n"/>
      <c r="I2" s="2" t="n"/>
    </row>
    <row r="3" ht="13.5" customHeight="1">
      <c r="B3" s="3" t="inlineStr">
        <is>
          <t>Gateway/ CFS Name:</t>
        </is>
      </c>
      <c r="D3" s="4" t="inlineStr">
        <is>
          <t>SDQ</t>
        </is>
      </c>
    </row>
    <row r="4" ht="13.5" customHeight="1">
      <c r="B4" s="3" t="inlineStr">
        <is>
          <t>Shipper Name:</t>
        </is>
      </c>
      <c r="D4" s="4" t="inlineStr">
        <is>
          <t>BANCO SANTA CRUZ SA</t>
        </is>
      </c>
    </row>
    <row r="5" ht="13.5" customHeight="1">
      <c r="B5" s="3" t="inlineStr">
        <is>
          <t>MAWB Number:</t>
        </is>
      </c>
      <c r="D5" s="4" t="inlineStr">
        <is>
          <t>406-08592161</t>
        </is>
      </c>
      <c r="F5" s="3" t="inlineStr">
        <is>
          <t>Cash Only:</t>
        </is>
      </c>
    </row>
    <row r="6" ht="13.5" customHeight="1">
      <c r="B6" s="3" t="inlineStr">
        <is>
          <t>Origin:</t>
        </is>
      </c>
      <c r="D6" s="4" t="inlineStr">
        <is>
          <t>SDQ</t>
        </is>
      </c>
      <c r="F6" s="3" t="inlineStr">
        <is>
          <t>Booked in ACOMS:</t>
        </is>
      </c>
    </row>
    <row r="7" ht="13.5" customHeight="1">
      <c r="B7" s="3" t="inlineStr">
        <is>
          <t>Destination:</t>
        </is>
      </c>
      <c r="D7" s="4" t="inlineStr">
        <is>
          <t>MIA</t>
        </is>
      </c>
      <c r="F7" s="3" t="inlineStr">
        <is>
          <t>Documents Provided:</t>
        </is>
      </c>
    </row>
    <row r="8" ht="13.5" customHeight="1">
      <c r="B8" s="3" t="inlineStr">
        <is>
          <t>AWB Reported Piece:</t>
        </is>
      </c>
      <c r="D8" s="4" t="n">
        <v>13</v>
      </c>
      <c r="F8" s="3" t="inlineStr">
        <is>
          <t>Export Customs Completed:</t>
        </is>
      </c>
    </row>
    <row r="9">
      <c r="B9" s="5" t="inlineStr">
        <is>
          <t>MAWB Weight (Greatest Shipper Reported Weight):</t>
        </is>
      </c>
      <c r="F9" s="3" t="inlineStr">
        <is>
          <t>Pre-built / Shipper Built:</t>
        </is>
      </c>
    </row>
    <row r="10" ht="14.25" customHeight="1">
      <c r="D10" s="4" t="n">
        <v>335</v>
      </c>
    </row>
    <row r="11" ht="5.25" customHeight="1"/>
    <row r="12" ht="6.75" customHeight="1"/>
    <row r="13" ht="6.75" customHeight="1"/>
    <row r="14" ht="13.5" customHeight="1">
      <c r="B14" s="6" t="inlineStr">
        <is>
          <t>Loose Tender:</t>
        </is>
      </c>
    </row>
    <row r="15" ht="13.5" customHeight="1">
      <c r="C15" s="3" t="inlineStr">
        <is>
          <t>Piece Count:</t>
        </is>
      </c>
      <c r="D15" s="4">
        <f>+B47</f>
        <v/>
      </c>
    </row>
    <row r="17" ht="13.5" customHeight="1">
      <c r="A17" s="7">
        <f>IF(A1=1,"194", "366")</f>
        <v/>
      </c>
      <c r="B17" s="8" t="n"/>
      <c r="E17" s="9" t="inlineStr">
        <is>
          <t>[((L x W x H) x # pieces) / 194 pounds]</t>
        </is>
      </c>
      <c r="H17" s="8" t="n"/>
      <c r="I17" s="8" t="n"/>
      <c r="J17" s="8" t="n"/>
      <c r="K17" s="8" t="n"/>
      <c r="L17" s="8" t="n"/>
      <c r="M17" s="8" t="n"/>
    </row>
    <row r="18" ht="13.5" customHeight="1">
      <c r="A18" s="7" t="n"/>
      <c r="B18" s="8" t="n"/>
      <c r="E18" s="9" t="inlineStr">
        <is>
          <t>[((L x W x H) x # pieces) / 366 kilos]</t>
        </is>
      </c>
      <c r="H18" s="8" t="n"/>
      <c r="I18" s="8" t="n"/>
      <c r="J18" s="8" t="n"/>
      <c r="K18" s="8" t="n"/>
      <c r="L18" s="8" t="n"/>
      <c r="M18" s="8" t="n"/>
    </row>
    <row r="20" ht="6.75" customHeight="1"/>
    <row r="21" ht="27.75" customHeight="1">
      <c r="A21" s="10" t="inlineStr"/>
      <c r="B21" s="11" t="inlineStr">
        <is>
          <t>Pieces</t>
        </is>
      </c>
      <c r="C21" s="11" t="inlineStr">
        <is>
          <t>Length</t>
        </is>
      </c>
      <c r="D21" s="11" t="inlineStr">
        <is>
          <t>Width</t>
        </is>
      </c>
      <c r="E21" s="11" t="inlineStr">
        <is>
          <t>Height</t>
        </is>
      </c>
      <c r="F21" s="11" t="inlineStr">
        <is>
          <t>Dim Weight</t>
        </is>
      </c>
      <c r="G21" s="12" t="inlineStr">
        <is>
          <t>Scale Weight in LBS</t>
        </is>
      </c>
      <c r="H21" s="13" t="inlineStr">
        <is>
          <t>Dim Wight for LBS</t>
        </is>
      </c>
      <c r="I21" s="13" t="inlineStr">
        <is>
          <t>Scale Weight in KGS</t>
        </is>
      </c>
      <c r="J21" s="13" t="inlineStr">
        <is>
          <t>Dim Weight in KGS</t>
        </is>
      </c>
      <c r="K21" s="14" t="inlineStr">
        <is>
          <t>INTL Chargeable WT In KGS</t>
        </is>
      </c>
      <c r="L21" s="10" t="inlineStr">
        <is>
          <t>DOM CHG WT</t>
        </is>
      </c>
      <c r="M21" s="15" t="n"/>
      <c r="N21" s="15" t="n"/>
    </row>
    <row r="22" ht="13.5" customHeight="1">
      <c r="A22" s="1" t="n">
        <v>1</v>
      </c>
      <c r="B22" s="16" t="n">
        <v>13</v>
      </c>
      <c r="C22" s="16" t="n">
        <v>21</v>
      </c>
      <c r="D22" s="16" t="n">
        <v>14</v>
      </c>
      <c r="E22" s="16" t="n">
        <v>7</v>
      </c>
      <c r="F22" s="17">
        <f>(((C22*D22*E22)*B22)/$A$17)</f>
        <v/>
      </c>
      <c r="G22" s="16" t="n">
        <v>335</v>
      </c>
      <c r="H22" s="18">
        <f>(((C22*D22*E22)*B22)/194)</f>
        <v/>
      </c>
      <c r="I22" s="15">
        <f>G22/2.2046</f>
        <v/>
      </c>
      <c r="J22" s="15">
        <f>(((C22*D22*E22)*B22)/366)</f>
        <v/>
      </c>
      <c r="K22" s="19">
        <f>MAX(I$47:J$47)</f>
        <v/>
      </c>
      <c r="L22" s="19">
        <f>MAX(G$47:H$47)</f>
        <v/>
      </c>
      <c r="M22" s="15" t="n"/>
      <c r="N22" s="15" t="n"/>
    </row>
    <row r="23" ht="13.5" customHeight="1">
      <c r="A23" s="1" t="n">
        <v>2</v>
      </c>
      <c r="B23" s="16" t="n">
        <v>0</v>
      </c>
      <c r="C23" s="16" t="n">
        <v>0</v>
      </c>
      <c r="D23" s="16" t="n">
        <v>0</v>
      </c>
      <c r="E23" s="16" t="n">
        <v>0</v>
      </c>
      <c r="F23" s="17">
        <f>(((C23*D23*E23)*B23)/$A$17)</f>
        <v/>
      </c>
      <c r="G23" s="16" t="n">
        <v>0</v>
      </c>
      <c r="H23" s="18">
        <f>(((C23*D23*E23)*B23)/194)</f>
        <v/>
      </c>
      <c r="I23" s="15">
        <f>G23/2.2046</f>
        <v/>
      </c>
      <c r="J23" s="15">
        <f>(((C23*D23*E23)*B23)/366)</f>
        <v/>
      </c>
      <c r="K23" s="19">
        <f>MAX(I$47:J$47)</f>
        <v/>
      </c>
      <c r="L23" s="19">
        <f>MAX(G$47:H$47)</f>
        <v/>
      </c>
      <c r="M23" s="15" t="n"/>
      <c r="N23" s="15" t="n"/>
    </row>
    <row r="24" ht="13.5" customHeight="1">
      <c r="A24" s="1" t="n">
        <v>3</v>
      </c>
      <c r="B24" s="16" t="n">
        <v>0</v>
      </c>
      <c r="C24" s="16" t="n">
        <v>0</v>
      </c>
      <c r="D24" s="16" t="n">
        <v>0</v>
      </c>
      <c r="E24" s="16" t="n">
        <v>0</v>
      </c>
      <c r="F24" s="17">
        <f>(((C24*D24*E24)*B24)/$A$17)</f>
        <v/>
      </c>
      <c r="G24" s="16" t="n">
        <v>0</v>
      </c>
      <c r="H24" s="18">
        <f>(((C24*D24*E24)*B24)/194)</f>
        <v/>
      </c>
      <c r="I24" s="15">
        <f>G24/2.2046</f>
        <v/>
      </c>
      <c r="J24" s="15">
        <f>(((C24*D24*E24)*B24)/366)</f>
        <v/>
      </c>
      <c r="K24" s="19">
        <f>MAX(I$47:J$47)</f>
        <v/>
      </c>
      <c r="L24" s="19">
        <f>MAX(G$47:H$47)</f>
        <v/>
      </c>
      <c r="M24" s="15" t="n"/>
      <c r="N24" s="15" t="n"/>
    </row>
    <row r="25" ht="13.5" customHeight="1">
      <c r="A25" s="1" t="n">
        <v>4</v>
      </c>
      <c r="B25" s="16" t="n">
        <v>0</v>
      </c>
      <c r="C25" s="16" t="n">
        <v>0</v>
      </c>
      <c r="D25" s="16" t="n">
        <v>0</v>
      </c>
      <c r="E25" s="16" t="n">
        <v>0</v>
      </c>
      <c r="F25" s="17">
        <f>(((C25*D25*E25)*B25)/$A$17)</f>
        <v/>
      </c>
      <c r="G25" s="16" t="n">
        <v>0</v>
      </c>
      <c r="H25" s="18">
        <f>(((C25*D25*E25)*B25)/194)</f>
        <v/>
      </c>
      <c r="I25" s="15">
        <f>G25/2.2046</f>
        <v/>
      </c>
      <c r="J25" s="15">
        <f>(((C25*D25*E25)*B25)/366)</f>
        <v/>
      </c>
      <c r="K25" s="19">
        <f>MAX(I$47:J$47)</f>
        <v/>
      </c>
      <c r="L25" s="19">
        <f>MAX(G$47:H$47)</f>
        <v/>
      </c>
      <c r="M25" s="15" t="n"/>
      <c r="N25" s="15" t="n"/>
    </row>
    <row r="26" ht="13.5" customHeight="1">
      <c r="A26" s="1" t="n">
        <v>5</v>
      </c>
      <c r="B26" s="16" t="n">
        <v>0</v>
      </c>
      <c r="C26" s="16" t="n">
        <v>0</v>
      </c>
      <c r="D26" s="16" t="n">
        <v>0</v>
      </c>
      <c r="E26" s="16" t="n">
        <v>0</v>
      </c>
      <c r="F26" s="17">
        <f>(((C26*D26*E26)*B26)/$A$17)</f>
        <v/>
      </c>
      <c r="G26" s="16" t="n">
        <v>0</v>
      </c>
      <c r="H26" s="18">
        <f>(((C26*D26*E26)*B26)/194)</f>
        <v/>
      </c>
      <c r="I26" s="15">
        <f>G26/2.2046</f>
        <v/>
      </c>
      <c r="J26" s="15">
        <f>(((C26*D26*E26)*B26)/366)</f>
        <v/>
      </c>
      <c r="K26" s="19">
        <f>MAX(I$47:J$47)</f>
        <v/>
      </c>
      <c r="L26" s="19">
        <f>MAX(G$47:H$47)</f>
        <v/>
      </c>
      <c r="M26" s="15" t="n"/>
      <c r="N26" s="15" t="n"/>
    </row>
    <row r="27" ht="13.5" customHeight="1">
      <c r="A27" s="1" t="n">
        <v>6</v>
      </c>
      <c r="B27" s="16" t="n">
        <v>0</v>
      </c>
      <c r="C27" s="16" t="n">
        <v>0</v>
      </c>
      <c r="D27" s="16" t="n">
        <v>0</v>
      </c>
      <c r="E27" s="16" t="n">
        <v>0</v>
      </c>
      <c r="F27" s="17">
        <f>(((C27*D27*E27)*B27)/$A$17)</f>
        <v/>
      </c>
      <c r="G27" s="16" t="n">
        <v>0</v>
      </c>
      <c r="H27" s="18">
        <f>(((C27*D27*E27)*B27)/194)</f>
        <v/>
      </c>
      <c r="I27" s="15">
        <f>G27/2.2046</f>
        <v/>
      </c>
      <c r="J27" s="15">
        <f>(((C27*D27*E27)*B27)/366)</f>
        <v/>
      </c>
      <c r="K27" s="19">
        <f>MAX(I$47:J$47)</f>
        <v/>
      </c>
      <c r="L27" s="19">
        <f>MAX(G$47:H$47)</f>
        <v/>
      </c>
      <c r="M27" s="15" t="n"/>
      <c r="N27" s="15" t="n"/>
    </row>
    <row r="28" ht="13.5" customHeight="1">
      <c r="A28" s="1" t="n">
        <v>7</v>
      </c>
      <c r="B28" s="16" t="n">
        <v>0</v>
      </c>
      <c r="C28" s="16" t="n">
        <v>0</v>
      </c>
      <c r="D28" s="16" t="n">
        <v>0</v>
      </c>
      <c r="E28" s="16" t="n">
        <v>0</v>
      </c>
      <c r="F28" s="17">
        <f>(((C28*D28*E28)*B28)/$A$17)</f>
        <v/>
      </c>
      <c r="G28" s="16" t="n">
        <v>0</v>
      </c>
      <c r="H28" s="18">
        <f>(((C28*D28*E28)*B28)/194)</f>
        <v/>
      </c>
      <c r="I28" s="15">
        <f>G28/2.2046</f>
        <v/>
      </c>
      <c r="J28" s="15">
        <f>(((C28*D28*E28)*B28)/366)</f>
        <v/>
      </c>
      <c r="K28" s="19">
        <f>MAX(I$47:J$47)</f>
        <v/>
      </c>
      <c r="L28" s="19">
        <f>MAX(G$47:H$47)</f>
        <v/>
      </c>
      <c r="M28" s="15" t="n"/>
      <c r="N28" s="15" t="n"/>
    </row>
    <row r="29" ht="13.5" customHeight="1">
      <c r="A29" s="1" t="n">
        <v>8</v>
      </c>
      <c r="B29" s="16" t="n">
        <v>0</v>
      </c>
      <c r="C29" s="16" t="n">
        <v>0</v>
      </c>
      <c r="D29" s="16" t="n">
        <v>0</v>
      </c>
      <c r="E29" s="16" t="n">
        <v>0</v>
      </c>
      <c r="F29" s="17">
        <f>(((C29*D29*E29)*B29)/$A$17)</f>
        <v/>
      </c>
      <c r="G29" s="16" t="n">
        <v>0</v>
      </c>
      <c r="H29" s="18">
        <f>(((C29*D29*E29)*B29)/194)</f>
        <v/>
      </c>
      <c r="I29" s="15">
        <f>G29/2.2046</f>
        <v/>
      </c>
      <c r="J29" s="15">
        <f>(((C29*D29*E29)*B29)/366)</f>
        <v/>
      </c>
      <c r="K29" s="19">
        <f>MAX(I$47:J$47)</f>
        <v/>
      </c>
      <c r="L29" s="19">
        <f>MAX(G$47:H$47)</f>
        <v/>
      </c>
      <c r="M29" s="15" t="n"/>
      <c r="N29" s="15" t="n"/>
    </row>
    <row r="30" ht="13.5" customHeight="1">
      <c r="A30" s="1" t="n">
        <v>9</v>
      </c>
      <c r="B30" s="16" t="n">
        <v>0</v>
      </c>
      <c r="C30" s="16" t="n">
        <v>0</v>
      </c>
      <c r="D30" s="16" t="n">
        <v>0</v>
      </c>
      <c r="E30" s="16" t="n">
        <v>0</v>
      </c>
      <c r="F30" s="17">
        <f>(((C30*D30*E30)*B30)/$A$17)</f>
        <v/>
      </c>
      <c r="G30" s="16" t="n">
        <v>0</v>
      </c>
      <c r="H30" s="18">
        <f>(((C30*D30*E30)*B30)/194)</f>
        <v/>
      </c>
      <c r="I30" s="15">
        <f>G30/2.2046</f>
        <v/>
      </c>
      <c r="J30" s="15">
        <f>(((C30*D30*E30)*B30)/366)</f>
        <v/>
      </c>
      <c r="K30" s="19">
        <f>MAX(I$47:J$47)</f>
        <v/>
      </c>
      <c r="L30" s="19">
        <f>MAX(G$47:H$47)</f>
        <v/>
      </c>
      <c r="M30" s="15" t="n"/>
      <c r="N30" s="15" t="n"/>
    </row>
    <row r="31" ht="13.5" customHeight="1">
      <c r="A31" s="1" t="n">
        <v>10</v>
      </c>
      <c r="B31" s="16" t="n">
        <v>0</v>
      </c>
      <c r="C31" s="16" t="n">
        <v>0</v>
      </c>
      <c r="D31" s="16" t="n">
        <v>0</v>
      </c>
      <c r="E31" s="16" t="n">
        <v>0</v>
      </c>
      <c r="F31" s="17">
        <f>(((C31*D31*E31)*B31)/$A$17)</f>
        <v/>
      </c>
      <c r="G31" s="16" t="n">
        <v>0</v>
      </c>
      <c r="H31" s="18">
        <f>(((C31*D31*E31)*B31)/194)</f>
        <v/>
      </c>
      <c r="I31" s="15">
        <f>G31/2.2046</f>
        <v/>
      </c>
      <c r="J31" s="15">
        <f>(((C31*D31*E31)*B31)/366)</f>
        <v/>
      </c>
      <c r="K31" s="19">
        <f>MAX(I$47:J$47)</f>
        <v/>
      </c>
      <c r="L31" s="19">
        <f>MAX(G$47:H$47)</f>
        <v/>
      </c>
      <c r="M31" s="15" t="n"/>
      <c r="N31" s="15" t="n"/>
    </row>
    <row r="32" ht="13.5" customHeight="1">
      <c r="A32" s="1" t="n">
        <v>11</v>
      </c>
      <c r="B32" s="16" t="n">
        <v>0</v>
      </c>
      <c r="C32" s="16" t="n">
        <v>0</v>
      </c>
      <c r="D32" s="16" t="n">
        <v>0</v>
      </c>
      <c r="E32" s="16" t="n">
        <v>0</v>
      </c>
      <c r="F32" s="17">
        <f>(((C32*D32*E32)*B32)/$A$17)</f>
        <v/>
      </c>
      <c r="G32" s="16" t="n">
        <v>0</v>
      </c>
      <c r="H32" s="18">
        <f>(((C32*D32*E32)*B32)/194)</f>
        <v/>
      </c>
      <c r="I32" s="15">
        <f>G32/2.2046</f>
        <v/>
      </c>
      <c r="J32" s="15">
        <f>(((C32*D32*E32)*B32)/366)</f>
        <v/>
      </c>
      <c r="K32" s="19">
        <f>MAX(I$47:J$47)</f>
        <v/>
      </c>
      <c r="L32" s="19">
        <f>MAX(G$47:H$47)</f>
        <v/>
      </c>
      <c r="M32" s="15" t="n"/>
      <c r="N32" s="15" t="n"/>
    </row>
    <row r="33" ht="13.5" customHeight="1">
      <c r="A33" s="1" t="n">
        <v>12</v>
      </c>
      <c r="B33" s="16" t="n">
        <v>0</v>
      </c>
      <c r="C33" s="16" t="n">
        <v>0</v>
      </c>
      <c r="D33" s="16" t="n">
        <v>0</v>
      </c>
      <c r="E33" s="16" t="n">
        <v>0</v>
      </c>
      <c r="F33" s="17">
        <f>(((C33*D33*E33)*B33)/$A$17)</f>
        <v/>
      </c>
      <c r="G33" s="16" t="n">
        <v>0</v>
      </c>
      <c r="H33" s="18">
        <f>(((C33*D33*E33)*B33)/194)</f>
        <v/>
      </c>
      <c r="I33" s="15">
        <f>G33/2.2046</f>
        <v/>
      </c>
      <c r="J33" s="15">
        <f>(((C33*D33*E33)*B33)/366)</f>
        <v/>
      </c>
      <c r="K33" s="19">
        <f>MAX(I$47:J$47)</f>
        <v/>
      </c>
      <c r="L33" s="19">
        <f>MAX(G$47:H$47)</f>
        <v/>
      </c>
      <c r="M33" s="15" t="n"/>
      <c r="N33" s="15" t="n"/>
    </row>
    <row r="34" ht="13.5" customHeight="1">
      <c r="A34" s="1" t="n">
        <v>13</v>
      </c>
      <c r="B34" s="16" t="n">
        <v>0</v>
      </c>
      <c r="C34" s="16" t="n">
        <v>0</v>
      </c>
      <c r="D34" s="16" t="n">
        <v>0</v>
      </c>
      <c r="E34" s="16" t="n">
        <v>0</v>
      </c>
      <c r="F34" s="17">
        <f>(((C34*D34*E34)*B34)/$A$17)</f>
        <v/>
      </c>
      <c r="G34" s="16" t="n">
        <v>0</v>
      </c>
      <c r="H34" s="18">
        <f>(((C34*D34*E34)*B34)/194)</f>
        <v/>
      </c>
      <c r="I34" s="15">
        <f>G34/2.2046</f>
        <v/>
      </c>
      <c r="J34" s="15">
        <f>(((C34*D34*E34)*B34)/366)</f>
        <v/>
      </c>
      <c r="K34" s="19">
        <f>MAX(I$47:J$47)</f>
        <v/>
      </c>
      <c r="L34" s="19">
        <f>MAX(G$47:H$47)</f>
        <v/>
      </c>
      <c r="M34" s="15" t="n"/>
      <c r="N34" s="15" t="n"/>
    </row>
    <row r="35" ht="13.5" customHeight="1">
      <c r="A35" s="1" t="n">
        <v>14</v>
      </c>
      <c r="B35" s="16" t="n">
        <v>0</v>
      </c>
      <c r="C35" s="16" t="n">
        <v>0</v>
      </c>
      <c r="D35" s="16" t="n">
        <v>0</v>
      </c>
      <c r="E35" s="16" t="n">
        <v>0</v>
      </c>
      <c r="F35" s="17">
        <f>(((C35*D35*E35)*B35)/$A$17)</f>
        <v/>
      </c>
      <c r="G35" s="16" t="n">
        <v>0</v>
      </c>
      <c r="H35" s="18">
        <f>(((C35*D35*E35)*B35)/194)</f>
        <v/>
      </c>
      <c r="I35" s="15">
        <f>G35/2.2046</f>
        <v/>
      </c>
      <c r="J35" s="15">
        <f>(((C35*D35*E35)*B35)/366)</f>
        <v/>
      </c>
      <c r="K35" s="19">
        <f>MAX(I$47:J$47)</f>
        <v/>
      </c>
      <c r="L35" s="19">
        <f>MAX(G$47:H$47)</f>
        <v/>
      </c>
      <c r="M35" s="15" t="n"/>
      <c r="N35" s="15" t="n"/>
    </row>
    <row r="36" ht="13.5" customHeight="1">
      <c r="A36" s="1" t="n">
        <v>15</v>
      </c>
      <c r="B36" s="16" t="n">
        <v>0</v>
      </c>
      <c r="C36" s="16" t="n">
        <v>0</v>
      </c>
      <c r="D36" s="16" t="n">
        <v>0</v>
      </c>
      <c r="E36" s="16" t="n">
        <v>0</v>
      </c>
      <c r="F36" s="17">
        <f>(((C36*D36*E36)*B36)/$A$17)</f>
        <v/>
      </c>
      <c r="G36" s="16" t="n">
        <v>0</v>
      </c>
      <c r="H36" s="18">
        <f>(((C36*D36*E36)*B36)/194)</f>
        <v/>
      </c>
      <c r="I36" s="15">
        <f>G36/2.2046</f>
        <v/>
      </c>
      <c r="J36" s="15">
        <f>(((C36*D36*E36)*B36)/366)</f>
        <v/>
      </c>
      <c r="K36" s="19">
        <f>MAX(I$47:J$47)</f>
        <v/>
      </c>
      <c r="L36" s="19">
        <f>MAX(G$47:H$47)</f>
        <v/>
      </c>
      <c r="M36" s="15" t="n"/>
      <c r="N36" s="15" t="n"/>
    </row>
    <row r="37" ht="13.5" customHeight="1">
      <c r="A37" s="1" t="n">
        <v>16</v>
      </c>
      <c r="B37" s="16" t="n">
        <v>0</v>
      </c>
      <c r="C37" s="16" t="n">
        <v>0</v>
      </c>
      <c r="D37" s="16" t="n">
        <v>0</v>
      </c>
      <c r="E37" s="16" t="n">
        <v>0</v>
      </c>
      <c r="F37" s="17">
        <f>(((C37*D37*E37)*B37)/$A$17)</f>
        <v/>
      </c>
      <c r="G37" s="16" t="n">
        <v>0</v>
      </c>
      <c r="H37" s="18">
        <f>(((C37*D37*E37)*B37)/194)</f>
        <v/>
      </c>
      <c r="I37" s="15">
        <f>G37/2.2046</f>
        <v/>
      </c>
      <c r="J37" s="15">
        <f>(((C37*D37*E37)*B37)/366)</f>
        <v/>
      </c>
      <c r="K37" s="19">
        <f>MAX(I$47:J$47)</f>
        <v/>
      </c>
      <c r="L37" s="19">
        <f>MAX(G$47:H$47)</f>
        <v/>
      </c>
      <c r="M37" s="15" t="n"/>
      <c r="N37" s="15" t="n"/>
    </row>
    <row r="38" ht="13.5" customHeight="1">
      <c r="A38" s="1" t="n">
        <v>17</v>
      </c>
      <c r="B38" s="16" t="n">
        <v>0</v>
      </c>
      <c r="C38" s="16" t="n">
        <v>0</v>
      </c>
      <c r="D38" s="16" t="n">
        <v>0</v>
      </c>
      <c r="E38" s="16" t="n">
        <v>0</v>
      </c>
      <c r="F38" s="17">
        <f>(((C38*D38*E38)*B38)/$A$17)</f>
        <v/>
      </c>
      <c r="G38" s="16" t="n">
        <v>0</v>
      </c>
      <c r="H38" s="18">
        <f>(((C38*D38*E38)*B38)/194)</f>
        <v/>
      </c>
      <c r="I38" s="15">
        <f>G38/2.2046</f>
        <v/>
      </c>
      <c r="J38" s="15">
        <f>(((C38*D38*E38)*B38)/366)</f>
        <v/>
      </c>
      <c r="K38" s="19">
        <f>MAX(I$47:J$47)</f>
        <v/>
      </c>
      <c r="L38" s="19">
        <f>MAX(G$47:H$47)</f>
        <v/>
      </c>
      <c r="M38" s="15" t="n"/>
      <c r="N38" s="15" t="n"/>
    </row>
    <row r="39" ht="13.5" customHeight="1">
      <c r="A39" s="1" t="n">
        <v>18</v>
      </c>
      <c r="B39" s="16" t="n">
        <v>0</v>
      </c>
      <c r="C39" s="16" t="n">
        <v>0</v>
      </c>
      <c r="D39" s="16" t="n">
        <v>0</v>
      </c>
      <c r="E39" s="16" t="n">
        <v>0</v>
      </c>
      <c r="F39" s="17">
        <f>(((C39*D39*E39)*B39)/$A$17)</f>
        <v/>
      </c>
      <c r="G39" s="16" t="n">
        <v>0</v>
      </c>
      <c r="H39" s="18">
        <f>(((C39*D39*E39)*B39)/194)</f>
        <v/>
      </c>
      <c r="I39" s="15">
        <f>G39/2.2046</f>
        <v/>
      </c>
      <c r="J39" s="15">
        <f>(((C39*D39*E39)*B39)/366)</f>
        <v/>
      </c>
      <c r="K39" s="19">
        <f>MAX(I$47:J$47)</f>
        <v/>
      </c>
      <c r="L39" s="19">
        <f>MAX(G$47:H$47)</f>
        <v/>
      </c>
      <c r="M39" s="15" t="n"/>
      <c r="N39" s="15" t="n"/>
    </row>
    <row r="40" ht="13.5" customHeight="1">
      <c r="A40" s="1" t="n">
        <v>19</v>
      </c>
      <c r="B40" s="16" t="n">
        <v>0</v>
      </c>
      <c r="C40" s="16" t="n">
        <v>0</v>
      </c>
      <c r="D40" s="16" t="n">
        <v>0</v>
      </c>
      <c r="E40" s="16" t="n">
        <v>0</v>
      </c>
      <c r="F40" s="17">
        <f>(((C40*D40*E40)*B40)/$A$17)</f>
        <v/>
      </c>
      <c r="G40" s="16" t="n">
        <v>0</v>
      </c>
      <c r="H40" s="18">
        <f>(((C40*D40*E40)*B40)/194)</f>
        <v/>
      </c>
      <c r="I40" s="15">
        <f>G40/2.2046</f>
        <v/>
      </c>
      <c r="J40" s="15">
        <f>(((C40*D40*E40)*B40)/366)</f>
        <v/>
      </c>
      <c r="K40" s="19">
        <f>MAX(I$47:J$47)</f>
        <v/>
      </c>
      <c r="L40" s="19">
        <f>MAX(G$47:H$47)</f>
        <v/>
      </c>
      <c r="M40" s="15" t="n"/>
      <c r="N40" s="15" t="n"/>
    </row>
    <row r="41" ht="13.5" customHeight="1">
      <c r="A41" s="1" t="n">
        <v>20</v>
      </c>
      <c r="B41" s="16" t="n">
        <v>0</v>
      </c>
      <c r="C41" s="16" t="n">
        <v>0</v>
      </c>
      <c r="D41" s="16" t="n">
        <v>0</v>
      </c>
      <c r="E41" s="16" t="n">
        <v>0</v>
      </c>
      <c r="F41" s="17">
        <f>(((C41*D41*E41)*B41)/$A$17)</f>
        <v/>
      </c>
      <c r="G41" s="16" t="n">
        <v>0</v>
      </c>
      <c r="H41" s="18">
        <f>(((C41*D41*E41)*B41)/194)</f>
        <v/>
      </c>
      <c r="I41" s="15">
        <f>G41/2.2046</f>
        <v/>
      </c>
      <c r="J41" s="15">
        <f>(((C41*D41*E41)*B41)/366)</f>
        <v/>
      </c>
      <c r="K41" s="19">
        <f>MAX(I$47:J$47)</f>
        <v/>
      </c>
      <c r="L41" s="19">
        <f>MAX(G$47:H$47)</f>
        <v/>
      </c>
      <c r="M41" s="15" t="n"/>
      <c r="N41" s="15" t="n"/>
    </row>
    <row r="42" ht="13.5" customHeight="1">
      <c r="A42" s="1" t="n">
        <v>21</v>
      </c>
      <c r="B42" s="16" t="n">
        <v>0</v>
      </c>
      <c r="C42" s="16" t="n">
        <v>0</v>
      </c>
      <c r="D42" s="16" t="n">
        <v>0</v>
      </c>
      <c r="E42" s="16" t="n">
        <v>0</v>
      </c>
      <c r="F42" s="17">
        <f>(((C42*D42*E42)*B42)/$A$17)</f>
        <v/>
      </c>
      <c r="G42" s="16" t="n">
        <v>0</v>
      </c>
      <c r="H42" s="18">
        <f>(((C42*D42*E42)*B42)/194)</f>
        <v/>
      </c>
      <c r="I42" s="15">
        <f>G42/2.2046</f>
        <v/>
      </c>
      <c r="J42" s="15">
        <f>(((C42*D42*E42)*B42)/366)</f>
        <v/>
      </c>
      <c r="K42" s="19">
        <f>MAX(I$47:J$47)</f>
        <v/>
      </c>
      <c r="L42" s="19">
        <f>MAX(G$47:H$47)</f>
        <v/>
      </c>
      <c r="M42" s="15" t="n"/>
      <c r="N42" s="15" t="n"/>
    </row>
    <row r="43" ht="13.5" customHeight="1">
      <c r="A43" s="1" t="n">
        <v>22</v>
      </c>
      <c r="B43" s="16" t="n">
        <v>0</v>
      </c>
      <c r="C43" s="16" t="n">
        <v>0</v>
      </c>
      <c r="D43" s="16" t="n">
        <v>0</v>
      </c>
      <c r="E43" s="16" t="n">
        <v>0</v>
      </c>
      <c r="F43" s="17">
        <f>(((C43*D43*E43)*B43)/$A$17)</f>
        <v/>
      </c>
      <c r="G43" s="16" t="n">
        <v>0</v>
      </c>
      <c r="H43" s="18">
        <f>(((C43*D43*E43)*B43)/194)</f>
        <v/>
      </c>
      <c r="I43" s="15">
        <f>G43/2.2046</f>
        <v/>
      </c>
      <c r="J43" s="15">
        <f>(((C43*D43*E43)*B43)/366)</f>
        <v/>
      </c>
      <c r="K43" s="19">
        <f>MAX(I$47:J$47)</f>
        <v/>
      </c>
      <c r="L43" s="19">
        <f>MAX(G$47:H$47)</f>
        <v/>
      </c>
      <c r="M43" s="15" t="n"/>
      <c r="N43" s="15" t="n"/>
    </row>
    <row r="44" ht="13.5" customHeight="1">
      <c r="A44" s="1" t="n">
        <v>23</v>
      </c>
      <c r="B44" s="16" t="n">
        <v>0</v>
      </c>
      <c r="C44" s="16" t="n">
        <v>0</v>
      </c>
      <c r="D44" s="16" t="n">
        <v>0</v>
      </c>
      <c r="E44" s="16" t="n">
        <v>0</v>
      </c>
      <c r="F44" s="17">
        <f>(((C44*D44*E44)*B44)/$A$17)</f>
        <v/>
      </c>
      <c r="G44" s="16" t="n">
        <v>0</v>
      </c>
      <c r="H44" s="18">
        <f>(((C44*D44*E44)*B44)/194)</f>
        <v/>
      </c>
      <c r="I44" s="15">
        <f>G44/2.2046</f>
        <v/>
      </c>
      <c r="J44" s="15">
        <f>(((C44*D44*E44)*B44)/366)</f>
        <v/>
      </c>
      <c r="K44" s="19">
        <f>MAX(I$47:J$47)</f>
        <v/>
      </c>
      <c r="L44" s="19">
        <f>MAX(G$47:H$47)</f>
        <v/>
      </c>
      <c r="M44" s="15" t="n"/>
      <c r="N44" s="15" t="n"/>
    </row>
    <row r="45" ht="13.5" customHeight="1">
      <c r="A45" s="1" t="n">
        <v>24</v>
      </c>
      <c r="B45" s="16" t="n">
        <v>0</v>
      </c>
      <c r="C45" s="16" t="n">
        <v>0</v>
      </c>
      <c r="D45" s="16" t="n">
        <v>0</v>
      </c>
      <c r="E45" s="16" t="n">
        <v>0</v>
      </c>
      <c r="F45" s="17">
        <f>(((C45*D45*E45)*B45)/$A$17)</f>
        <v/>
      </c>
      <c r="G45" s="16" t="n">
        <v>0</v>
      </c>
      <c r="H45" s="18">
        <f>(((C45*D45*E45)*B45)/194)</f>
        <v/>
      </c>
      <c r="I45" s="15">
        <f>G45/2.2046</f>
        <v/>
      </c>
      <c r="J45" s="15">
        <f>(((C45*D45*E45)*B45)/366)</f>
        <v/>
      </c>
      <c r="K45" s="19">
        <f>MAX(I$47:J$47)</f>
        <v/>
      </c>
      <c r="L45" s="19">
        <f>MAX(G$47:H$47)</f>
        <v/>
      </c>
      <c r="M45" s="15" t="n"/>
      <c r="N45" s="15" t="n"/>
    </row>
    <row r="46" ht="13.5" customHeight="1">
      <c r="A46" s="1" t="n">
        <v>25</v>
      </c>
      <c r="B46" s="16" t="n">
        <v>0</v>
      </c>
      <c r="C46" s="16" t="n">
        <v>0</v>
      </c>
      <c r="D46" s="16" t="n">
        <v>0</v>
      </c>
      <c r="E46" s="16" t="n">
        <v>0</v>
      </c>
      <c r="F46" s="17">
        <f>(((C46*D46*E46)*B46)/$A$17)</f>
        <v/>
      </c>
      <c r="G46" s="16" t="n">
        <v>0</v>
      </c>
      <c r="H46" s="18">
        <f>(((C46*D46*E46)*B46)/194)</f>
        <v/>
      </c>
      <c r="I46" s="15">
        <f>G46/2.2046</f>
        <v/>
      </c>
      <c r="J46" s="15">
        <f>(((C46*D46*E46)*B46)/366)</f>
        <v/>
      </c>
      <c r="K46" s="19">
        <f>MAX(I$47:J$47)</f>
        <v/>
      </c>
      <c r="L46" s="19">
        <f>MAX(G$47:H$47)</f>
        <v/>
      </c>
      <c r="M46" s="15" t="n"/>
      <c r="N46" s="15" t="n"/>
    </row>
    <row r="47" ht="13.5" customHeight="1">
      <c r="B47" s="20">
        <f>SUM(B22:B46)</f>
        <v/>
      </c>
      <c r="C47" s="20" t="n"/>
      <c r="D47" s="20" t="n"/>
      <c r="E47" s="20" t="n"/>
      <c r="F47" s="21">
        <f>SUM(F22:F46)</f>
        <v/>
      </c>
      <c r="G47" s="20">
        <f>SUM(G22:G46)</f>
        <v/>
      </c>
      <c r="H47" s="15">
        <f>SUM(H22:H46)</f>
        <v/>
      </c>
      <c r="I47" s="15">
        <f>SUM(I22:I46)</f>
        <v/>
      </c>
      <c r="J47" s="15">
        <f>SUM(J22:J46)</f>
        <v/>
      </c>
      <c r="K47" s="22" t="n"/>
      <c r="L47" s="22" t="n"/>
      <c r="M47" s="15" t="n"/>
      <c r="N47" s="15" t="n"/>
    </row>
    <row r="48">
      <c r="A48" s="8" t="n"/>
      <c r="B48" s="23" t="n"/>
    </row>
    <row r="49" ht="16.5" customHeight="1">
      <c r="B49" s="24" t="inlineStr">
        <is>
          <t xml:space="preserve">Actual weight of this shipment is: </t>
        </is>
      </c>
      <c r="E49" s="25">
        <f>ROUND(F49,0)&amp;" KGS"</f>
        <v/>
      </c>
      <c r="F49" s="26">
        <f>H49/2.2046</f>
        <v/>
      </c>
      <c r="G49" s="25">
        <f>ROUND(H49,0)&amp;" LBS"</f>
        <v/>
      </c>
      <c r="H49" s="8">
        <f>G47</f>
        <v/>
      </c>
      <c r="I49" s="8" t="n"/>
      <c r="J49" s="8" t="n"/>
      <c r="K49" s="8" t="n"/>
      <c r="L49" s="8" t="n"/>
      <c r="M49" s="8" t="n"/>
      <c r="N49" s="15" t="n"/>
    </row>
    <row r="51" ht="16.5" customHeight="1">
      <c r="B51" s="24" t="inlineStr">
        <is>
          <t xml:space="preserve">Chargeable weight of this shipment is: </t>
        </is>
      </c>
      <c r="E51" s="27">
        <f>ROUND(F51,0)&amp;" KGS "</f>
        <v/>
      </c>
      <c r="F51" s="26">
        <f>IF(A1=1,L22/2.2046,K22)</f>
        <v/>
      </c>
      <c r="G51" s="27">
        <f>ROUND(H51,0)&amp;" LBS"</f>
        <v/>
      </c>
      <c r="H51" s="8">
        <f>IF(A1=1,L22, K22*2.2046)</f>
        <v/>
      </c>
      <c r="I51" s="8" t="n"/>
      <c r="J51" s="8" t="n"/>
      <c r="K51" s="8" t="n"/>
      <c r="L51" s="8" t="n"/>
      <c r="M51" s="8" t="n"/>
      <c r="N51" s="15" t="n"/>
    </row>
    <row r="53">
      <c r="C53" s="16" t="inlineStr">
        <is>
          <t>HIGH VALUES</t>
        </is>
      </c>
      <c r="D53" s="16" t="n"/>
      <c r="E53" s="16" t="n"/>
      <c r="F53" s="16" t="n"/>
      <c r="G53" s="16" t="n"/>
      <c r="H53" s="16" t="n"/>
    </row>
    <row r="54">
      <c r="C54" s="16" t="n"/>
      <c r="D54" s="16" t="n"/>
      <c r="E54" s="16" t="n"/>
      <c r="F54" s="16" t="n"/>
      <c r="G54" s="16" t="n"/>
      <c r="H54" s="16" t="n"/>
    </row>
    <row r="56" ht="13.5" customHeight="1">
      <c r="B56" s="9" t="inlineStr">
        <is>
          <t>Dock Signature:</t>
        </is>
      </c>
      <c r="C56" s="4" t="inlineStr">
        <is>
          <t>EMMANUEL SANTANA</t>
        </is>
      </c>
    </row>
    <row r="57" ht="18" customHeight="1">
      <c r="B57" s="28" t="inlineStr">
        <is>
          <t>Print Name:</t>
        </is>
      </c>
      <c r="C57" s="4" t="inlineStr">
        <is>
          <t>EMMANUEL SANTANA</t>
        </is>
      </c>
      <c r="F57" s="28" t="inlineStr">
        <is>
          <t>Date / Time:</t>
        </is>
      </c>
      <c r="G57" s="4" t="inlineStr">
        <is>
          <t>2026-05-20 00:00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A5"/>
  <mergeCells count="30">
    <mergeCell ref="D10:E10"/>
    <mergeCell ref="F5:N5"/>
    <mergeCell ref="B7:C7"/>
    <mergeCell ref="G57:I57"/>
    <mergeCell ref="B3:C3"/>
    <mergeCell ref="C53:H54"/>
    <mergeCell ref="C56:E56"/>
    <mergeCell ref="F8:N8"/>
    <mergeCell ref="B9:C10"/>
    <mergeCell ref="D6:E6"/>
    <mergeCell ref="E18:H18"/>
    <mergeCell ref="B49:D49"/>
    <mergeCell ref="B14:C14"/>
    <mergeCell ref="B8:C8"/>
    <mergeCell ref="B51:D51"/>
    <mergeCell ref="E17:H17"/>
    <mergeCell ref="D7:E7"/>
    <mergeCell ref="C57:E57"/>
    <mergeCell ref="D4:E4"/>
    <mergeCell ref="D3:E3"/>
    <mergeCell ref="D8:E8"/>
    <mergeCell ref="B6:C6"/>
    <mergeCell ref="B1:E1"/>
    <mergeCell ref="D15:E15"/>
    <mergeCell ref="B5:C5"/>
    <mergeCell ref="F6:N6"/>
    <mergeCell ref="D5:E5"/>
    <mergeCell ref="F7:N7"/>
    <mergeCell ref="F9:N1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2026-07-09T02:07:51Z</dcterms:created>
  <dcterms:modified xsi:type="dcterms:W3CDTF">2026-07-09T02:07:51Z</dcterms:modified>
</cp:coreProperties>
</file>